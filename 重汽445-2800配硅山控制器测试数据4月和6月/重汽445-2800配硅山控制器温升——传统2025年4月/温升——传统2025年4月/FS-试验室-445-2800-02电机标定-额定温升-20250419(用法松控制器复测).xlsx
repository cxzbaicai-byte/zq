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1"/>
  </bookViews>
  <sheets>
    <sheet name="2090rpm-400Kw-温升" sheetId="24" r:id="rId1"/>
    <sheet name="2120rpm-400Kw-温升" sheetId="2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<sst xmlns="http://schemas.openxmlformats.org/spreadsheetml/2006/main" count="49" uniqueCount="22">
  <si>
    <t>测试开始前</t>
  </si>
  <si>
    <t>转速r/min</t>
  </si>
  <si>
    <t>水温/℃</t>
  </si>
  <si>
    <t>流量
L/min</t>
  </si>
  <si>
    <t>扭矩/Nm</t>
  </si>
  <si>
    <t>电流/A</t>
  </si>
  <si>
    <t>功率/Kw</t>
  </si>
  <si>
    <t>定子铁芯SN</t>
  </si>
  <si>
    <t>测试结束时</t>
  </si>
  <si>
    <t>控制器编号</t>
  </si>
  <si>
    <t>ED3-06</t>
  </si>
  <si>
    <t>时间/min</t>
  </si>
  <si>
    <t>电机温度/℃</t>
  </si>
  <si>
    <t>电控温度/℃</t>
  </si>
  <si>
    <t>20250409   13：50</t>
  </si>
  <si>
    <t>电机温度1/℃</t>
  </si>
  <si>
    <t>电机温度2/℃</t>
  </si>
  <si>
    <t>法松数据：额定功率，额定转速</t>
  </si>
  <si>
    <t>1.电机温升88度</t>
  </si>
  <si>
    <t>电控温升9度</t>
  </si>
  <si>
    <t>电机在100min时候出现高温</t>
  </si>
  <si>
    <t>没有明显出现热平衡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</si>
</sst>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0.0_ ;[Red]\-0.0\ "/>
    <numFmt numFmtId="179" formatCode="0_);[Red]\(0\)"/>
    <numFmt numFmtId="180" formatCode="0_ ;[Red]\-0\ "/>
    <numFmt numFmtId="181" formatCode="0.0_);[Red]\(0.0\)"/>
    <numFmt numFmtId="182" formatCode="0.00_);[Red]\(0.00\)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7" fontId="0" fillId="0" borderId="2" xfId="0" applyNumberFormat="1" applyBorder="1" applyAlignment="1">
      <alignment horizontal="center"/>
    </xf>
    <xf numFmtId="178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 wrapText="1"/>
    </xf>
    <xf numFmtId="179" fontId="0" fillId="0" borderId="4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181" fontId="0" fillId="0" borderId="0" xfId="0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81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/>
    </xf>
    <xf numFmtId="176" fontId="0" fillId="0" borderId="3" xfId="0" applyNumberFormat="1" applyBorder="1" applyAlignment="1">
      <alignment horizontal="center"/>
    </xf>
    <xf numFmtId="180" fontId="0" fillId="0" borderId="0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温升</a:t>
            </a:r>
            <a:r>
              <a:rPr lang="en-US" altLang="zh-CN"/>
              <a:t>-2090rpm-400Kw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'2090rpm-400Kw-温升'!$B$7</c:f>
              <c:strCache>
                <c:ptCount val="1"/>
                <c:pt idx="0">
                  <c:v>电机温度/℃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'2090rpm-400Kw-温升'!$A$8:$A$20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cat>
          <c:val>
            <c:numRef>
              <c:f>'2090rpm-400Kw-温升'!$B$8:$B$20</c:f>
              <c:numCache>
                <c:formatCode>0_);[Red]\(0\)</c:formatCode>
                <c:ptCount val="13"/>
                <c:pt idx="0">
                  <c:v>64</c:v>
                </c:pt>
                <c:pt idx="1">
                  <c:v>115</c:v>
                </c:pt>
                <c:pt idx="2">
                  <c:v>127</c:v>
                </c:pt>
                <c:pt idx="3">
                  <c:v>133</c:v>
                </c:pt>
                <c:pt idx="4">
                  <c:v>135</c:v>
                </c:pt>
                <c:pt idx="5">
                  <c:v>137</c:v>
                </c:pt>
                <c:pt idx="6">
                  <c:v>139</c:v>
                </c:pt>
                <c:pt idx="7">
                  <c:v>141</c:v>
                </c:pt>
                <c:pt idx="8">
                  <c:v>142</c:v>
                </c:pt>
                <c:pt idx="9">
                  <c:v>143</c:v>
                </c:pt>
                <c:pt idx="10">
                  <c:v>144</c:v>
                </c:pt>
                <c:pt idx="11">
                  <c:v>144</c:v>
                </c:pt>
                <c:pt idx="12">
                  <c:v>145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'2090rpm-400Kw-温升'!$C$7</c:f>
              <c:strCache>
                <c:ptCount val="1"/>
                <c:pt idx="0">
                  <c:v>电控温度/℃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'2090rpm-400Kw-温升'!$A$8:$A$20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cat>
          <c:val>
            <c:numRef>
              <c:f>'2090rpm-400Kw-温升'!$C$8:$C$20</c:f>
              <c:numCache>
                <c:formatCode>0_ ;[Red]\-0\ </c:formatCode>
                <c:ptCount val="13"/>
                <c:pt idx="0">
                  <c:v>65</c:v>
                </c:pt>
                <c:pt idx="1">
                  <c:v>72</c:v>
                </c:pt>
                <c:pt idx="2">
                  <c:v>72</c:v>
                </c:pt>
                <c:pt idx="3">
                  <c:v>72</c:v>
                </c:pt>
                <c:pt idx="4">
                  <c:v>72</c:v>
                </c:pt>
                <c:pt idx="5">
                  <c:v>72</c:v>
                </c:pt>
                <c:pt idx="6">
                  <c:v>72</c:v>
                </c:pt>
                <c:pt idx="7">
                  <c:v>72</c:v>
                </c:pt>
                <c:pt idx="8">
                  <c:v>72</c:v>
                </c:pt>
                <c:pt idx="9">
                  <c:v>72</c:v>
                </c:pt>
                <c:pt idx="10">
                  <c:v>72</c:v>
                </c:pt>
                <c:pt idx="11">
                  <c:v>72</c:v>
                </c:pt>
                <c:pt idx="12">
                  <c:v>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6722568"/>
        <c:axId val="606723224"/>
      </c:lineChart>
      <c:catAx>
        <c:axId val="606722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时间</a:t>
                </a:r>
                <a:r>
                  <a:rPr lang="en-US" altLang="zh-CN"/>
                  <a:t>/min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358211898866734"/>
              <c:y val="0.90633019497878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6723224"/>
        <c:crosses val="autoZero"/>
        <c:auto val="1"/>
        <c:lblAlgn val="ctr"/>
        <c:lblOffset val="100"/>
        <c:noMultiLvlLbl val="0"/>
      </c:catAx>
      <c:valAx>
        <c:axId val="60672322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温度</a:t>
                </a:r>
                <a:r>
                  <a:rPr lang="en-US" altLang="zh-CN"/>
                  <a:t>/</a:t>
                </a:r>
                <a:r>
                  <a:rPr lang="zh-CN" altLang="en-US"/>
                  <a:t>℃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672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169930246703"/>
          <c:y val="0.895992953748146"/>
          <c:w val="0.610479235147565"/>
          <c:h val="0.06787376747326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c1b91b1-504e-40fb-8049-50e10a8fa6b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温升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'2120rpm-400Kw-温升'!$B$8</c:f>
              <c:strCache>
                <c:ptCount val="1"/>
                <c:pt idx="0">
                  <c:v>电机温度1/℃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'2120rpm-400Kw-温升'!$A$9:$A$21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cat>
          <c:val>
            <c:numRef>
              <c:f>'2120rpm-400Kw-温升'!$B$9:$B$21</c:f>
              <c:numCache>
                <c:formatCode>0_);[Red]\(0\)</c:formatCode>
                <c:ptCount val="13"/>
                <c:pt idx="0">
                  <c:v>63</c:v>
                </c:pt>
                <c:pt idx="1">
                  <c:v>117</c:v>
                </c:pt>
                <c:pt idx="2">
                  <c:v>130</c:v>
                </c:pt>
                <c:pt idx="3">
                  <c:v>134</c:v>
                </c:pt>
                <c:pt idx="4">
                  <c:v>136</c:v>
                </c:pt>
                <c:pt idx="5">
                  <c:v>137</c:v>
                </c:pt>
                <c:pt idx="6">
                  <c:v>138</c:v>
                </c:pt>
                <c:pt idx="7">
                  <c:v>139</c:v>
                </c:pt>
                <c:pt idx="8">
                  <c:v>141</c:v>
                </c:pt>
                <c:pt idx="9">
                  <c:v>142</c:v>
                </c:pt>
                <c:pt idx="10">
                  <c:v>143</c:v>
                </c:pt>
                <c:pt idx="11">
                  <c:v>144</c:v>
                </c:pt>
                <c:pt idx="12">
                  <c:v>145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'2120rpm-400Kw-温升'!$C$8</c:f>
              <c:strCache>
                <c:ptCount val="1"/>
                <c:pt idx="0">
                  <c:v>电机温度2/℃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'2120rpm-400Kw-温升'!$A$9:$A$21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cat>
          <c:val>
            <c:numRef>
              <c:f>'2120rpm-400Kw-温升'!$C$9:$C$21</c:f>
              <c:numCache>
                <c:formatCode>0_ </c:formatCode>
                <c:ptCount val="13"/>
                <c:pt idx="0">
                  <c:v>63</c:v>
                </c:pt>
                <c:pt idx="1">
                  <c:v>114</c:v>
                </c:pt>
                <c:pt idx="2">
                  <c:v>126</c:v>
                </c:pt>
                <c:pt idx="3">
                  <c:v>130</c:v>
                </c:pt>
                <c:pt idx="4">
                  <c:v>132</c:v>
                </c:pt>
                <c:pt idx="5">
                  <c:v>133</c:v>
                </c:pt>
                <c:pt idx="6">
                  <c:v>134</c:v>
                </c:pt>
                <c:pt idx="7">
                  <c:v>135</c:v>
                </c:pt>
                <c:pt idx="8">
                  <c:v>137</c:v>
                </c:pt>
                <c:pt idx="9">
                  <c:v>139</c:v>
                </c:pt>
                <c:pt idx="10">
                  <c:v>140</c:v>
                </c:pt>
                <c:pt idx="11">
                  <c:v>141</c:v>
                </c:pt>
                <c:pt idx="12">
                  <c:v>142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'2120rpm-400Kw-温升'!$D$8</c:f>
              <c:strCache>
                <c:ptCount val="1"/>
                <c:pt idx="0">
                  <c:v>电控温度/℃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'2120rpm-400Kw-温升'!$A$9:$A$21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cat>
          <c:val>
            <c:numRef>
              <c:f>'2120rpm-400Kw-温升'!$D$9:$D$21</c:f>
              <c:numCache>
                <c:formatCode>0_ ;[Red]\-0\ </c:formatCode>
                <c:ptCount val="13"/>
                <c:pt idx="0">
                  <c:v>64</c:v>
                </c:pt>
                <c:pt idx="1">
                  <c:v>71</c:v>
                </c:pt>
                <c:pt idx="2">
                  <c:v>71</c:v>
                </c:pt>
                <c:pt idx="3">
                  <c:v>71</c:v>
                </c:pt>
                <c:pt idx="4">
                  <c:v>72</c:v>
                </c:pt>
                <c:pt idx="5">
                  <c:v>72</c:v>
                </c:pt>
                <c:pt idx="6">
                  <c:v>72</c:v>
                </c:pt>
                <c:pt idx="7">
                  <c:v>72</c:v>
                </c:pt>
                <c:pt idx="8">
                  <c:v>72</c:v>
                </c:pt>
                <c:pt idx="9">
                  <c:v>72</c:v>
                </c:pt>
                <c:pt idx="10">
                  <c:v>72</c:v>
                </c:pt>
                <c:pt idx="11">
                  <c:v>72</c:v>
                </c:pt>
                <c:pt idx="12">
                  <c:v>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37028344"/>
        <c:axId val="537038512"/>
      </c:lineChart>
      <c:catAx>
        <c:axId val="537028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时间</a:t>
                </a:r>
                <a:r>
                  <a:rPr lang="en-US" altLang="zh-CN"/>
                  <a:t>/min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396199909816611"/>
              <c:y val="0.782236719339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038512"/>
        <c:crosses val="autoZero"/>
        <c:auto val="1"/>
        <c:lblAlgn val="ctr"/>
        <c:lblOffset val="100"/>
        <c:noMultiLvlLbl val="0"/>
      </c:catAx>
      <c:valAx>
        <c:axId val="53703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温度</a:t>
                </a:r>
                <a:r>
                  <a:rPr lang="en-US" altLang="zh-CN"/>
                  <a:t>/</a:t>
                </a:r>
                <a:r>
                  <a:rPr lang="zh-CN" altLang="en-US"/>
                  <a:t>℃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028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3493084406414"/>
          <c:y val="0.865654354936312"/>
          <c:w val="0.642458785695527"/>
          <c:h val="0.07588584653222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eeb0d3-be33-4288-8aea-39727f6481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7143</xdr:colOff>
      <xdr:row>5</xdr:row>
      <xdr:rowOff>174307</xdr:rowOff>
    </xdr:from>
    <xdr:to>
      <xdr:col>12</xdr:col>
      <xdr:colOff>200025</xdr:colOff>
      <xdr:row>23</xdr:row>
      <xdr:rowOff>160020</xdr:rowOff>
    </xdr:to>
    <xdr:graphicFrame>
      <xdr:nvGraphicFramePr>
        <xdr:cNvPr id="2" name="图表 1"/>
        <xdr:cNvGraphicFramePr/>
      </xdr:nvGraphicFramePr>
      <xdr:xfrm>
        <a:off x="3947160" y="1400810"/>
        <a:ext cx="5434965" cy="3140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115570</xdr:colOff>
      <xdr:row>1</xdr:row>
      <xdr:rowOff>67310</xdr:rowOff>
    </xdr:from>
    <xdr:to>
      <xdr:col>16</xdr:col>
      <xdr:colOff>293370</xdr:colOff>
      <xdr:row>16</xdr:row>
      <xdr:rowOff>62549</xdr:rowOff>
    </xdr:to>
    <xdr:graphicFrame>
      <xdr:nvGraphicFramePr>
        <xdr:cNvPr id="3" name="图表 2"/>
        <xdr:cNvGraphicFramePr/>
      </xdr:nvGraphicFramePr>
      <xdr:xfrm>
        <a:off x="7113270" y="417830"/>
        <a:ext cx="6891020" cy="2799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8"/>
  <sheetViews>
    <sheetView workbookViewId="0">
      <selection activeCell="B20" sqref="B20"/>
    </sheetView>
  </sheetViews>
  <sheetFormatPr defaultColWidth="8.86111111111111" defaultRowHeight="13.8"/>
  <cols>
    <col min="1" max="1" width="10.1296296296296" style="2" customWidth="1"/>
    <col min="2" max="2" width="12.6666666666667" style="3" customWidth="1"/>
    <col min="3" max="3" width="12.462962962963" style="3" customWidth="1"/>
    <col min="4" max="4" width="10.5277777777778" style="4" customWidth="1"/>
    <col min="5" max="5" width="11.6666666666667" style="2" customWidth="1"/>
    <col min="6" max="6" width="10.7962962962963" style="2" customWidth="1"/>
    <col min="7" max="7" width="9.12962962962963" style="2" customWidth="1"/>
    <col min="8" max="8" width="15.5277777777778" style="2" customWidth="1"/>
    <col min="9" max="9" width="9.12962962962963" style="2" customWidth="1"/>
    <col min="10" max="11" width="10.5277777777778" style="2" customWidth="1"/>
    <col min="12" max="12" width="10.7962962962963" style="2" customWidth="1"/>
    <col min="13" max="13" width="13.5277777777778" style="2" customWidth="1"/>
    <col min="14" max="14" width="12.5277777777778" style="2" customWidth="1"/>
    <col min="15" max="15" width="9.66666666666667" style="2" customWidth="1"/>
    <col min="16" max="16" width="9" style="2" customWidth="1"/>
    <col min="17" max="17" width="9.52777777777778" style="2" customWidth="1"/>
    <col min="18" max="18" width="10.5277777777778" style="2" customWidth="1"/>
    <col min="19" max="19" width="11.2037037037037" style="2" customWidth="1"/>
    <col min="20" max="23" width="9" style="2" customWidth="1"/>
    <col min="24" max="25" width="10.5277777777778" style="2" customWidth="1"/>
    <col min="26" max="26" width="10.1296296296296" style="2" customWidth="1"/>
    <col min="27" max="30" width="9" style="2" customWidth="1"/>
    <col min="31" max="31" width="10.5277777777778" style="2" customWidth="1"/>
    <col min="32" max="16384" width="8.86111111111111" style="2"/>
  </cols>
  <sheetData>
    <row r="1" ht="27.6" spans="1:8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5"/>
      <c r="B2" s="7">
        <v>2090</v>
      </c>
      <c r="C2" s="7">
        <v>65</v>
      </c>
      <c r="D2" s="8">
        <v>30</v>
      </c>
      <c r="E2" s="9">
        <f>D8</f>
        <v>1826.7</v>
      </c>
      <c r="F2" s="9">
        <v>549.4</v>
      </c>
      <c r="G2" s="9">
        <f>B2*E2/9550</f>
        <v>399.769947643979</v>
      </c>
      <c r="H2" s="8">
        <v>25022504020001</v>
      </c>
    </row>
    <row r="3" ht="27.6" spans="1:8">
      <c r="A3" s="5" t="s">
        <v>8</v>
      </c>
      <c r="B3" s="5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9</v>
      </c>
    </row>
    <row r="4" spans="1:8">
      <c r="A4" s="5"/>
      <c r="B4" s="7">
        <v>2090</v>
      </c>
      <c r="C4" s="7">
        <f>C2</f>
        <v>65</v>
      </c>
      <c r="D4" s="8">
        <v>30</v>
      </c>
      <c r="E4" s="10">
        <f>D20</f>
        <v>1804.4</v>
      </c>
      <c r="F4" s="11"/>
      <c r="G4" s="9">
        <f>B4*E4/9550</f>
        <v>394.889633507853</v>
      </c>
      <c r="H4" s="12" t="s">
        <v>10</v>
      </c>
    </row>
    <row r="5" s="1" customFormat="1" spans="5:6">
      <c r="E5" s="13"/>
      <c r="F5" s="13"/>
    </row>
    <row r="7" spans="1:7">
      <c r="A7" s="14" t="s">
        <v>11</v>
      </c>
      <c r="B7" s="25" t="s">
        <v>12</v>
      </c>
      <c r="C7" s="15" t="s">
        <v>13</v>
      </c>
      <c r="D7" s="6" t="s">
        <v>4</v>
      </c>
      <c r="F7" s="16"/>
      <c r="G7" s="16"/>
    </row>
    <row r="8" spans="1:7">
      <c r="A8" s="14">
        <v>0</v>
      </c>
      <c r="B8" s="26">
        <v>64</v>
      </c>
      <c r="C8" s="18">
        <v>65</v>
      </c>
      <c r="D8" s="19">
        <v>1826.7</v>
      </c>
      <c r="F8" s="20"/>
      <c r="G8" s="21"/>
    </row>
    <row r="9" spans="1:7">
      <c r="A9" s="14">
        <v>5</v>
      </c>
      <c r="B9" s="26">
        <v>115</v>
      </c>
      <c r="C9" s="18">
        <v>72</v>
      </c>
      <c r="D9" s="19">
        <v>1819.9</v>
      </c>
      <c r="F9" s="20"/>
      <c r="G9" s="21"/>
    </row>
    <row r="10" spans="1:7">
      <c r="A10" s="14">
        <v>10</v>
      </c>
      <c r="B10" s="26">
        <v>127</v>
      </c>
      <c r="C10" s="18">
        <v>72</v>
      </c>
      <c r="D10" s="19">
        <v>1815.5</v>
      </c>
      <c r="F10" s="20"/>
      <c r="G10" s="21"/>
    </row>
    <row r="11" spans="1:7">
      <c r="A11" s="14">
        <v>15</v>
      </c>
      <c r="B11" s="22">
        <v>133</v>
      </c>
      <c r="C11" s="18">
        <v>72</v>
      </c>
      <c r="D11" s="19">
        <v>1813.3</v>
      </c>
      <c r="F11" s="20"/>
      <c r="G11" s="21"/>
    </row>
    <row r="12" spans="1:7">
      <c r="A12" s="14">
        <v>20</v>
      </c>
      <c r="B12" s="26">
        <v>135</v>
      </c>
      <c r="C12" s="18">
        <v>72</v>
      </c>
      <c r="D12" s="19">
        <v>1811.2</v>
      </c>
      <c r="F12" s="20"/>
      <c r="G12" s="21"/>
    </row>
    <row r="13" spans="1:7">
      <c r="A13" s="14">
        <v>25</v>
      </c>
      <c r="B13" s="26">
        <v>137</v>
      </c>
      <c r="C13" s="18">
        <v>72</v>
      </c>
      <c r="D13" s="19">
        <v>1811.1</v>
      </c>
      <c r="F13" s="20"/>
      <c r="G13" s="21"/>
    </row>
    <row r="14" spans="1:7">
      <c r="A14" s="14">
        <v>30</v>
      </c>
      <c r="B14" s="26">
        <v>139</v>
      </c>
      <c r="C14" s="18">
        <v>72</v>
      </c>
      <c r="D14" s="19">
        <v>1808.9</v>
      </c>
      <c r="F14" s="20"/>
      <c r="G14" s="21"/>
    </row>
    <row r="15" spans="1:7">
      <c r="A15" s="14">
        <v>35</v>
      </c>
      <c r="B15" s="26">
        <v>141</v>
      </c>
      <c r="C15" s="18">
        <v>72</v>
      </c>
      <c r="D15" s="7">
        <v>1808.8</v>
      </c>
      <c r="F15" s="20"/>
      <c r="G15" s="21"/>
    </row>
    <row r="16" spans="1:7">
      <c r="A16" s="14">
        <v>40</v>
      </c>
      <c r="B16" s="26">
        <v>142</v>
      </c>
      <c r="C16" s="18">
        <v>72</v>
      </c>
      <c r="D16" s="19">
        <v>1806.7</v>
      </c>
      <c r="F16" s="20"/>
      <c r="G16" s="21"/>
    </row>
    <row r="17" spans="1:7">
      <c r="A17" s="14">
        <v>45</v>
      </c>
      <c r="B17" s="26">
        <v>143</v>
      </c>
      <c r="C17" s="18">
        <v>72</v>
      </c>
      <c r="D17" s="19">
        <v>1806.7</v>
      </c>
      <c r="F17" s="20"/>
      <c r="G17" s="21"/>
    </row>
    <row r="18" spans="1:7">
      <c r="A18" s="14">
        <v>50</v>
      </c>
      <c r="B18" s="26">
        <v>144</v>
      </c>
      <c r="C18" s="18">
        <v>72</v>
      </c>
      <c r="D18" s="19">
        <v>1804.4</v>
      </c>
      <c r="F18" s="20"/>
      <c r="G18" s="21"/>
    </row>
    <row r="19" spans="1:7">
      <c r="A19" s="14">
        <v>55</v>
      </c>
      <c r="B19" s="26">
        <v>144</v>
      </c>
      <c r="C19" s="18">
        <v>72</v>
      </c>
      <c r="D19" s="19">
        <v>1804.4</v>
      </c>
      <c r="F19" s="20"/>
      <c r="G19" s="21"/>
    </row>
    <row r="20" spans="1:7">
      <c r="A20" s="14">
        <v>60</v>
      </c>
      <c r="B20" s="26">
        <v>145</v>
      </c>
      <c r="C20" s="18">
        <v>72</v>
      </c>
      <c r="D20" s="19">
        <v>1804.4</v>
      </c>
      <c r="F20" s="20"/>
      <c r="G20" s="21"/>
    </row>
    <row r="21" spans="1:3">
      <c r="A21" s="31"/>
      <c r="B21" s="32"/>
      <c r="C21" s="33"/>
    </row>
    <row r="23" spans="1:4">
      <c r="A23" s="1"/>
      <c r="B23" s="34"/>
      <c r="C23" s="34"/>
      <c r="D23" s="35"/>
    </row>
    <row r="24" spans="1:4">
      <c r="A24" s="1"/>
      <c r="B24" s="34"/>
      <c r="C24" s="34"/>
      <c r="D24" s="35"/>
    </row>
    <row r="25" spans="1:4">
      <c r="A25" s="36"/>
      <c r="B25" s="36"/>
      <c r="C25" s="34"/>
      <c r="D25" s="35"/>
    </row>
    <row r="26" spans="1:3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</row>
    <row r="27" spans="1:3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1"/>
      <c r="S27" s="11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</row>
    <row r="28" spans="1:31">
      <c r="A28" s="28"/>
      <c r="B28" s="29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30"/>
      <c r="U28" s="27"/>
      <c r="V28" s="30"/>
      <c r="W28" s="30"/>
      <c r="X28" s="30"/>
      <c r="Y28" s="30"/>
      <c r="Z28" s="30"/>
      <c r="AA28" s="30"/>
      <c r="AB28" s="30"/>
      <c r="AC28" s="30"/>
      <c r="AD28" s="30"/>
      <c r="AE28" s="30"/>
    </row>
    <row r="29" spans="1:31">
      <c r="A29" s="28"/>
      <c r="B29" s="29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30"/>
      <c r="U29" s="27"/>
      <c r="V29" s="30"/>
      <c r="W29" s="30"/>
      <c r="X29" s="30"/>
      <c r="Y29" s="30"/>
      <c r="Z29" s="30"/>
      <c r="AA29" s="30"/>
      <c r="AB29" s="30"/>
      <c r="AC29" s="30"/>
      <c r="AD29" s="30"/>
      <c r="AE29" s="30"/>
    </row>
    <row r="30" spans="1:31">
      <c r="A30" s="28"/>
      <c r="B30" s="29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30"/>
      <c r="U30" s="27"/>
      <c r="V30" s="30"/>
      <c r="W30" s="30"/>
      <c r="X30" s="30"/>
      <c r="Y30" s="30"/>
      <c r="Z30" s="30"/>
      <c r="AA30" s="30"/>
      <c r="AB30" s="30"/>
      <c r="AC30" s="30"/>
      <c r="AD30" s="30"/>
      <c r="AE30" s="30"/>
    </row>
    <row r="31" spans="1:31">
      <c r="A31" s="28"/>
      <c r="B31" s="29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30"/>
      <c r="U31" s="27"/>
      <c r="V31" s="30"/>
      <c r="W31" s="30"/>
      <c r="X31" s="30"/>
      <c r="Y31" s="30"/>
      <c r="Z31" s="30"/>
      <c r="AA31" s="30"/>
      <c r="AB31" s="30"/>
      <c r="AC31" s="30"/>
      <c r="AD31" s="30"/>
      <c r="AE31" s="30"/>
    </row>
    <row r="32" spans="1:31">
      <c r="A32" s="28"/>
      <c r="B32" s="29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30"/>
      <c r="U32" s="27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spans="1:31">
      <c r="A33" s="28"/>
      <c r="B33" s="29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30"/>
      <c r="U33" s="27"/>
      <c r="V33" s="30"/>
      <c r="W33" s="30"/>
      <c r="X33" s="30"/>
      <c r="Y33" s="30"/>
      <c r="Z33" s="30"/>
      <c r="AA33" s="30"/>
      <c r="AB33" s="30"/>
      <c r="AC33" s="30"/>
      <c r="AD33" s="30"/>
      <c r="AE33" s="30"/>
    </row>
    <row r="34" spans="1:31">
      <c r="A34" s="28"/>
      <c r="B34" s="29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30"/>
      <c r="U34" s="27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spans="1:31">
      <c r="A35" s="28"/>
      <c r="B35" s="29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30"/>
      <c r="U35" s="27"/>
      <c r="V35" s="30"/>
      <c r="W35" s="30"/>
      <c r="X35" s="30"/>
      <c r="Y35" s="30"/>
      <c r="Z35" s="30"/>
      <c r="AA35" s="30"/>
      <c r="AB35" s="30"/>
      <c r="AC35" s="30"/>
      <c r="AD35" s="30"/>
      <c r="AE35" s="30"/>
    </row>
    <row r="36" spans="1:31">
      <c r="A36" s="28"/>
      <c r="B36" s="29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30"/>
      <c r="U36" s="27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spans="1:21">
      <c r="A37" s="28"/>
      <c r="B37" s="29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30"/>
      <c r="U37" s="27"/>
    </row>
    <row r="38" spans="1:21">
      <c r="A38" s="28"/>
      <c r="B38" s="29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30"/>
      <c r="U38" s="27"/>
    </row>
    <row r="39" spans="1:21">
      <c r="A39" s="28"/>
      <c r="B39" s="29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30"/>
      <c r="U39" s="27"/>
    </row>
    <row r="40" spans="1:21">
      <c r="A40" s="28"/>
      <c r="B40" s="29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30"/>
      <c r="U40" s="27"/>
    </row>
    <row r="41" spans="1:21">
      <c r="A41" s="28"/>
      <c r="B41" s="29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30"/>
      <c r="U41" s="27"/>
    </row>
    <row r="42" spans="1:21">
      <c r="A42" s="28"/>
      <c r="B42" s="29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30"/>
      <c r="U42" s="27"/>
    </row>
    <row r="43" spans="1:21">
      <c r="A43" s="28"/>
      <c r="B43" s="29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30"/>
      <c r="U43" s="27"/>
    </row>
    <row r="44" spans="1:21">
      <c r="A44" s="28"/>
      <c r="B44" s="29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30"/>
      <c r="U44" s="27"/>
    </row>
    <row r="45" spans="1:21">
      <c r="A45" s="28"/>
      <c r="B45" s="29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30"/>
      <c r="U45" s="27"/>
    </row>
    <row r="46" spans="1:21">
      <c r="A46" s="28"/>
      <c r="B46" s="29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30"/>
      <c r="U46" s="27"/>
    </row>
    <row r="47" spans="1:21">
      <c r="A47" s="28"/>
      <c r="B47" s="29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30"/>
      <c r="U47" s="27"/>
    </row>
    <row r="48" spans="1:21">
      <c r="A48" s="28"/>
      <c r="B48" s="29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30"/>
      <c r="U48" s="27"/>
    </row>
    <row r="49" spans="1:21">
      <c r="A49" s="28"/>
      <c r="B49" s="29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30"/>
      <c r="U49" s="27"/>
    </row>
    <row r="50" spans="1:21">
      <c r="A50" s="28"/>
      <c r="B50" s="29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30"/>
      <c r="U50" s="27"/>
    </row>
    <row r="51" spans="1:21">
      <c r="A51" s="28"/>
      <c r="B51" s="29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30"/>
      <c r="U51" s="27"/>
    </row>
    <row r="52" spans="1:21">
      <c r="A52" s="28"/>
      <c r="B52" s="29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30"/>
      <c r="U52" s="27"/>
    </row>
    <row r="53" spans="1:21">
      <c r="A53" s="28"/>
      <c r="B53" s="29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30"/>
      <c r="U53" s="27"/>
    </row>
    <row r="54" spans="1:21">
      <c r="A54" s="28"/>
      <c r="B54" s="29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30"/>
      <c r="U54" s="27"/>
    </row>
    <row r="55" spans="1:21">
      <c r="A55" s="28"/>
      <c r="B55" s="29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30"/>
      <c r="U55" s="27"/>
    </row>
    <row r="56" spans="1:21">
      <c r="A56" s="28"/>
      <c r="B56" s="29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30"/>
      <c r="U56" s="27"/>
    </row>
    <row r="57" spans="1:21">
      <c r="A57" s="28"/>
      <c r="B57" s="29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30"/>
      <c r="U57" s="27"/>
    </row>
    <row r="58" spans="1:21">
      <c r="A58" s="28"/>
      <c r="B58" s="29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30"/>
      <c r="U58" s="27"/>
    </row>
    <row r="59" spans="1:21">
      <c r="A59" s="28"/>
      <c r="B59" s="29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30"/>
      <c r="U59" s="27"/>
    </row>
    <row r="60" spans="1:21">
      <c r="A60" s="28"/>
      <c r="B60" s="29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30"/>
      <c r="U60" s="27"/>
    </row>
    <row r="61" spans="1:21">
      <c r="A61" s="28"/>
      <c r="B61" s="29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30"/>
      <c r="U61" s="27"/>
    </row>
    <row r="62" spans="1:21">
      <c r="A62" s="28"/>
      <c r="B62" s="29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30"/>
      <c r="U62" s="27"/>
    </row>
    <row r="63" spans="1:21">
      <c r="A63" s="28"/>
      <c r="B63" s="29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30"/>
      <c r="U63" s="27"/>
    </row>
    <row r="64" spans="1:21">
      <c r="A64" s="28"/>
      <c r="B64" s="29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30"/>
      <c r="U64" s="27"/>
    </row>
    <row r="65" spans="1:21">
      <c r="A65" s="28"/>
      <c r="B65" s="29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30"/>
      <c r="U65" s="27"/>
    </row>
    <row r="66" spans="1:21">
      <c r="A66" s="28"/>
      <c r="B66" s="29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30"/>
      <c r="U66" s="27"/>
    </row>
    <row r="67" spans="1:21">
      <c r="A67" s="28"/>
      <c r="B67" s="29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30"/>
      <c r="U67" s="27"/>
    </row>
    <row r="68" spans="1:21">
      <c r="A68" s="28"/>
      <c r="B68" s="29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30"/>
      <c r="U68" s="27"/>
    </row>
    <row r="69" spans="1:21">
      <c r="A69" s="28"/>
      <c r="B69" s="29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30"/>
      <c r="U69" s="27"/>
    </row>
    <row r="70" spans="1:21">
      <c r="A70" s="28"/>
      <c r="B70" s="29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30"/>
      <c r="U70" s="27"/>
    </row>
    <row r="71" spans="1:21">
      <c r="A71" s="28"/>
      <c r="B71" s="29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30"/>
      <c r="U71" s="27"/>
    </row>
    <row r="72" spans="1:21">
      <c r="A72" s="28"/>
      <c r="B72" s="29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30"/>
      <c r="U72" s="27"/>
    </row>
    <row r="73" spans="1:21">
      <c r="A73" s="28"/>
      <c r="B73" s="29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30"/>
      <c r="U73" s="27"/>
    </row>
    <row r="74" spans="1:21">
      <c r="A74" s="28"/>
      <c r="B74" s="29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30"/>
      <c r="U74" s="27"/>
    </row>
    <row r="75" spans="1:21">
      <c r="A75" s="28"/>
      <c r="B75" s="29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30"/>
      <c r="U75" s="27"/>
    </row>
    <row r="76" spans="1:21">
      <c r="A76" s="28"/>
      <c r="B76" s="29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30"/>
      <c r="U76" s="27"/>
    </row>
    <row r="77" spans="1:21">
      <c r="A77" s="28"/>
      <c r="B77" s="29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30"/>
      <c r="U77" s="27"/>
    </row>
    <row r="78" spans="1:21">
      <c r="A78" s="28"/>
      <c r="B78" s="29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30"/>
      <c r="U78" s="27"/>
    </row>
    <row r="79" spans="1:21">
      <c r="A79" s="28"/>
      <c r="B79" s="29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30"/>
      <c r="U79" s="27"/>
    </row>
    <row r="80" spans="1:21">
      <c r="A80" s="28"/>
      <c r="B80" s="29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30"/>
      <c r="U80" s="27"/>
    </row>
    <row r="81" spans="1:21">
      <c r="A81" s="28"/>
      <c r="B81" s="29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30"/>
      <c r="U81" s="27"/>
    </row>
    <row r="82" spans="1:21">
      <c r="A82" s="28"/>
      <c r="B82" s="29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30"/>
      <c r="U82" s="27"/>
    </row>
    <row r="83" spans="1:21">
      <c r="A83" s="28"/>
      <c r="B83" s="29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30"/>
      <c r="U83" s="27"/>
    </row>
    <row r="84" spans="1:21">
      <c r="A84" s="28"/>
      <c r="B84" s="29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30"/>
      <c r="U84" s="27"/>
    </row>
    <row r="85" spans="1:21">
      <c r="A85" s="28"/>
      <c r="B85" s="29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30"/>
      <c r="U85" s="27"/>
    </row>
    <row r="86" spans="1:21">
      <c r="A86" s="28"/>
      <c r="B86" s="29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30"/>
      <c r="U86" s="27"/>
    </row>
    <row r="87" spans="1:21">
      <c r="A87" s="28"/>
      <c r="B87" s="29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30"/>
      <c r="U87" s="27"/>
    </row>
    <row r="88" spans="1:19">
      <c r="A88" s="28"/>
      <c r="B88" s="29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</sheetData>
  <mergeCells count="4">
    <mergeCell ref="E22:F22"/>
    <mergeCell ref="A25:B25"/>
    <mergeCell ref="A1:A2"/>
    <mergeCell ref="A3:A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9"/>
  <sheetViews>
    <sheetView tabSelected="1" topLeftCell="A14" workbookViewId="0">
      <selection activeCell="G3" sqref="G3"/>
    </sheetView>
  </sheetViews>
  <sheetFormatPr defaultColWidth="8.86111111111111" defaultRowHeight="13.8"/>
  <cols>
    <col min="1" max="1" width="10.1296296296296" style="2" customWidth="1"/>
    <col min="2" max="2" width="12.6666666666667" style="3" customWidth="1"/>
    <col min="3" max="3" width="12.462962962963" style="3" customWidth="1"/>
    <col min="4" max="4" width="10.5277777777778" style="4" customWidth="1"/>
    <col min="5" max="5" width="11.6666666666667" style="2" customWidth="1"/>
    <col min="6" max="6" width="10.7962962962963" style="2" customWidth="1"/>
    <col min="7" max="7" width="9.12962962962963" style="2" customWidth="1"/>
    <col min="8" max="8" width="15.5277777777778" style="2" customWidth="1"/>
    <col min="9" max="9" width="9.12962962962963" style="2" customWidth="1"/>
    <col min="10" max="11" width="10.5277777777778" style="2" customWidth="1"/>
    <col min="12" max="12" width="32.1111111111111" style="2" customWidth="1"/>
    <col min="13" max="13" width="13.5277777777778" style="2" customWidth="1"/>
    <col min="14" max="14" width="12.5277777777778" style="2" customWidth="1"/>
    <col min="15" max="15" width="9.66666666666667" style="2" customWidth="1"/>
    <col min="16" max="16" width="9" style="2" customWidth="1"/>
    <col min="17" max="17" width="9.52777777777778" style="2" customWidth="1"/>
    <col min="18" max="18" width="10.5277777777778" style="2" customWidth="1"/>
    <col min="19" max="19" width="11.2037037037037" style="2" customWidth="1"/>
    <col min="20" max="23" width="9" style="2" customWidth="1"/>
    <col min="24" max="25" width="10.5277777777778" style="2" customWidth="1"/>
    <col min="26" max="26" width="10.1296296296296" style="2" customWidth="1"/>
    <col min="27" max="30" width="9" style="2" customWidth="1"/>
    <col min="31" max="31" width="10.5277777777778" style="2" customWidth="1"/>
    <col min="32" max="16384" width="8.86111111111111" style="2"/>
  </cols>
  <sheetData>
    <row r="1" ht="27.6" spans="1:8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5"/>
      <c r="B2" s="7">
        <v>2120</v>
      </c>
      <c r="C2" s="7">
        <v>65</v>
      </c>
      <c r="D2" s="8">
        <v>30</v>
      </c>
      <c r="E2" s="9">
        <f>E9</f>
        <v>1811.1</v>
      </c>
      <c r="F2" s="9">
        <v>555.7</v>
      </c>
      <c r="G2" s="9">
        <f>B2*E2/9550</f>
        <v>402.045235602094</v>
      </c>
      <c r="H2" s="8">
        <v>25022504020001</v>
      </c>
    </row>
    <row r="3" ht="27.6" spans="1:8">
      <c r="A3" s="5" t="s">
        <v>8</v>
      </c>
      <c r="B3" s="5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9</v>
      </c>
    </row>
    <row r="4" spans="1:8">
      <c r="A4" s="5"/>
      <c r="B4" s="7">
        <v>2120</v>
      </c>
      <c r="C4" s="7">
        <f>C2</f>
        <v>65</v>
      </c>
      <c r="D4" s="8">
        <v>30</v>
      </c>
      <c r="E4" s="10">
        <f>E33</f>
        <v>1806.7</v>
      </c>
      <c r="F4" s="11">
        <v>559.2</v>
      </c>
      <c r="G4" s="9">
        <f>B4*E4/9550</f>
        <v>401.068481675393</v>
      </c>
      <c r="H4" s="12" t="s">
        <v>10</v>
      </c>
    </row>
    <row r="5" s="1" customFormat="1" spans="5:6">
      <c r="E5" s="13"/>
      <c r="F5" s="13"/>
    </row>
    <row r="6" s="1" customFormat="1" spans="5:6">
      <c r="E6" s="2" t="s">
        <v>14</v>
      </c>
      <c r="F6" s="2"/>
    </row>
    <row r="8" spans="1:7">
      <c r="A8" s="14" t="s">
        <v>11</v>
      </c>
      <c r="B8" s="15" t="s">
        <v>15</v>
      </c>
      <c r="C8" s="15" t="s">
        <v>16</v>
      </c>
      <c r="D8" s="15" t="s">
        <v>13</v>
      </c>
      <c r="E8" s="6" t="s">
        <v>4</v>
      </c>
      <c r="F8" s="16"/>
      <c r="G8" s="16"/>
    </row>
    <row r="9" spans="1:7">
      <c r="A9" s="14">
        <v>0</v>
      </c>
      <c r="B9" s="17">
        <v>63</v>
      </c>
      <c r="C9" s="8">
        <v>63</v>
      </c>
      <c r="D9" s="18">
        <v>64</v>
      </c>
      <c r="E9" s="19">
        <v>1811.1</v>
      </c>
      <c r="F9" s="20"/>
      <c r="G9" s="21"/>
    </row>
    <row r="10" spans="1:7">
      <c r="A10" s="14">
        <v>5</v>
      </c>
      <c r="B10" s="17">
        <v>117</v>
      </c>
      <c r="C10" s="8">
        <v>114</v>
      </c>
      <c r="D10" s="18">
        <v>71</v>
      </c>
      <c r="E10" s="19">
        <v>1802.3</v>
      </c>
      <c r="F10" s="20"/>
      <c r="G10" s="21"/>
    </row>
    <row r="11" spans="1:7">
      <c r="A11" s="14">
        <v>10</v>
      </c>
      <c r="B11" s="17">
        <v>130</v>
      </c>
      <c r="C11" s="8">
        <v>126</v>
      </c>
      <c r="D11" s="18">
        <v>71</v>
      </c>
      <c r="E11" s="19">
        <v>1800.2</v>
      </c>
      <c r="F11" s="20"/>
      <c r="G11" s="21"/>
    </row>
    <row r="12" spans="1:7">
      <c r="A12" s="14">
        <v>15</v>
      </c>
      <c r="B12" s="22">
        <v>134</v>
      </c>
      <c r="C12" s="8">
        <v>130</v>
      </c>
      <c r="D12" s="18">
        <v>71</v>
      </c>
      <c r="E12" s="23">
        <v>1797.9</v>
      </c>
      <c r="F12" s="20"/>
      <c r="G12" s="21"/>
    </row>
    <row r="13" spans="1:7">
      <c r="A13" s="14">
        <v>20</v>
      </c>
      <c r="B13" s="17">
        <v>136</v>
      </c>
      <c r="C13" s="8">
        <v>132</v>
      </c>
      <c r="D13" s="18">
        <v>72</v>
      </c>
      <c r="E13" s="19">
        <v>1797.4</v>
      </c>
      <c r="F13" s="20"/>
      <c r="G13" s="21"/>
    </row>
    <row r="14" spans="1:7">
      <c r="A14" s="14">
        <v>25</v>
      </c>
      <c r="B14" s="17">
        <v>137</v>
      </c>
      <c r="C14" s="8">
        <v>133</v>
      </c>
      <c r="D14" s="18">
        <v>72</v>
      </c>
      <c r="E14" s="19">
        <v>1796.1</v>
      </c>
      <c r="F14" s="20"/>
      <c r="G14" s="21"/>
    </row>
    <row r="15" spans="1:7">
      <c r="A15" s="14">
        <v>30</v>
      </c>
      <c r="B15" s="17">
        <v>138</v>
      </c>
      <c r="C15" s="8">
        <v>134</v>
      </c>
      <c r="D15" s="18">
        <v>72</v>
      </c>
      <c r="E15" s="19">
        <v>1795.6</v>
      </c>
      <c r="F15" s="20"/>
      <c r="G15" s="21"/>
    </row>
    <row r="16" spans="1:7">
      <c r="A16" s="14">
        <v>35</v>
      </c>
      <c r="B16" s="17">
        <v>139</v>
      </c>
      <c r="C16" s="8">
        <v>135</v>
      </c>
      <c r="D16" s="18">
        <v>72</v>
      </c>
      <c r="E16" s="24">
        <v>1807.5</v>
      </c>
      <c r="F16" s="20"/>
      <c r="G16" s="21"/>
    </row>
    <row r="17" spans="1:7">
      <c r="A17" s="14">
        <v>40</v>
      </c>
      <c r="B17" s="17">
        <v>141</v>
      </c>
      <c r="C17" s="8">
        <v>137</v>
      </c>
      <c r="D17" s="18">
        <v>72</v>
      </c>
      <c r="E17" s="19">
        <v>1896.7</v>
      </c>
      <c r="F17" s="20"/>
      <c r="G17" s="21"/>
    </row>
    <row r="18" spans="1:7">
      <c r="A18" s="14">
        <v>45</v>
      </c>
      <c r="B18" s="17">
        <v>142</v>
      </c>
      <c r="C18" s="8">
        <v>139</v>
      </c>
      <c r="D18" s="18">
        <v>72</v>
      </c>
      <c r="E18" s="19">
        <v>1804.5</v>
      </c>
      <c r="F18" s="20"/>
      <c r="G18" s="21"/>
    </row>
    <row r="19" spans="1:7">
      <c r="A19" s="14">
        <v>50</v>
      </c>
      <c r="B19" s="17">
        <v>143</v>
      </c>
      <c r="C19" s="8">
        <v>140</v>
      </c>
      <c r="D19" s="18">
        <v>72</v>
      </c>
      <c r="E19" s="19">
        <v>1804.2</v>
      </c>
      <c r="F19" s="20"/>
      <c r="G19" s="21"/>
    </row>
    <row r="20" spans="1:12">
      <c r="A20" s="14">
        <v>55</v>
      </c>
      <c r="B20" s="17">
        <v>144</v>
      </c>
      <c r="C20" s="8">
        <v>141</v>
      </c>
      <c r="D20" s="18">
        <v>72</v>
      </c>
      <c r="E20" s="19">
        <v>1804.1</v>
      </c>
      <c r="F20" s="20"/>
      <c r="G20" s="21"/>
      <c r="L20" s="2" t="s">
        <v>17</v>
      </c>
    </row>
    <row r="21" spans="1:12">
      <c r="A21" s="14">
        <v>60</v>
      </c>
      <c r="B21" s="17">
        <v>145</v>
      </c>
      <c r="C21" s="8">
        <v>142</v>
      </c>
      <c r="D21" s="18">
        <v>72</v>
      </c>
      <c r="E21" s="19">
        <v>1804.1</v>
      </c>
      <c r="F21" s="20"/>
      <c r="G21" s="21"/>
      <c r="K21" s="2">
        <v>1</v>
      </c>
      <c r="L21" s="2" t="s">
        <v>18</v>
      </c>
    </row>
    <row r="22" spans="1:12">
      <c r="A22" s="14">
        <v>65</v>
      </c>
      <c r="B22" s="8">
        <v>146</v>
      </c>
      <c r="C22" s="18">
        <v>142</v>
      </c>
      <c r="D22" s="8">
        <v>72</v>
      </c>
      <c r="E22" s="7">
        <v>1804.7</v>
      </c>
      <c r="K22" s="2">
        <v>2</v>
      </c>
      <c r="L22" s="2" t="s">
        <v>19</v>
      </c>
    </row>
    <row r="23" spans="1:12">
      <c r="A23" s="14">
        <v>70</v>
      </c>
      <c r="B23" s="8">
        <v>147</v>
      </c>
      <c r="C23" s="8">
        <v>143</v>
      </c>
      <c r="D23" s="8">
        <v>73</v>
      </c>
      <c r="E23" s="7">
        <v>1804.6</v>
      </c>
      <c r="K23" s="2">
        <v>3</v>
      </c>
      <c r="L23" s="2" t="s">
        <v>20</v>
      </c>
    </row>
    <row r="24" spans="1:12">
      <c r="A24" s="14">
        <v>75</v>
      </c>
      <c r="B24" s="25">
        <v>147</v>
      </c>
      <c r="C24" s="25">
        <v>144</v>
      </c>
      <c r="D24" s="25">
        <v>73</v>
      </c>
      <c r="E24" s="7">
        <v>1803.9</v>
      </c>
      <c r="K24" s="2">
        <v>3</v>
      </c>
      <c r="L24" s="2" t="s">
        <v>21</v>
      </c>
    </row>
    <row r="25" spans="1:5">
      <c r="A25" s="14">
        <v>80</v>
      </c>
      <c r="B25" s="25">
        <v>148</v>
      </c>
      <c r="C25" s="25">
        <v>144</v>
      </c>
      <c r="D25" s="25">
        <v>73</v>
      </c>
      <c r="E25" s="7">
        <v>1806.5</v>
      </c>
    </row>
    <row r="26" spans="1:5">
      <c r="A26" s="14">
        <v>85</v>
      </c>
      <c r="B26" s="14">
        <v>148</v>
      </c>
      <c r="C26" s="25">
        <v>145</v>
      </c>
      <c r="D26" s="25">
        <v>73</v>
      </c>
      <c r="E26" s="7">
        <v>1808.4</v>
      </c>
    </row>
    <row r="27" spans="1:31">
      <c r="A27" s="14">
        <v>90</v>
      </c>
      <c r="B27" s="26">
        <v>149</v>
      </c>
      <c r="C27" s="26">
        <v>146</v>
      </c>
      <c r="D27" s="25">
        <v>73</v>
      </c>
      <c r="E27" s="19">
        <v>1808.8</v>
      </c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</row>
    <row r="28" spans="1:31">
      <c r="A28" s="14">
        <v>95</v>
      </c>
      <c r="B28" s="26">
        <v>149</v>
      </c>
      <c r="C28" s="26">
        <v>146</v>
      </c>
      <c r="D28" s="25">
        <v>73</v>
      </c>
      <c r="E28" s="14">
        <v>1808.8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1"/>
      <c r="S28" s="11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</row>
    <row r="29" spans="1:31">
      <c r="A29" s="14">
        <v>100</v>
      </c>
      <c r="B29" s="26">
        <v>150</v>
      </c>
      <c r="C29" s="26">
        <v>146</v>
      </c>
      <c r="D29" s="25">
        <v>73</v>
      </c>
      <c r="E29" s="23">
        <v>1808.8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30"/>
      <c r="U29" s="27"/>
      <c r="V29" s="30"/>
      <c r="W29" s="30"/>
      <c r="X29" s="30"/>
      <c r="Y29" s="30"/>
      <c r="Z29" s="30"/>
      <c r="AA29" s="30"/>
      <c r="AB29" s="30"/>
      <c r="AC29" s="30"/>
      <c r="AD29" s="30"/>
      <c r="AE29" s="30"/>
    </row>
    <row r="30" spans="1:31">
      <c r="A30" s="14">
        <v>105</v>
      </c>
      <c r="B30" s="26">
        <v>150</v>
      </c>
      <c r="C30" s="26">
        <v>147</v>
      </c>
      <c r="D30" s="25">
        <v>73</v>
      </c>
      <c r="E30" s="23">
        <v>1806.7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30"/>
      <c r="U30" s="27"/>
      <c r="V30" s="30"/>
      <c r="W30" s="30"/>
      <c r="X30" s="30"/>
      <c r="Y30" s="30"/>
      <c r="Z30" s="30"/>
      <c r="AA30" s="30"/>
      <c r="AB30" s="30"/>
      <c r="AC30" s="30"/>
      <c r="AD30" s="30"/>
      <c r="AE30" s="30"/>
    </row>
    <row r="31" spans="1:31">
      <c r="A31" s="14">
        <v>110</v>
      </c>
      <c r="B31" s="26">
        <v>151</v>
      </c>
      <c r="C31" s="26">
        <v>147</v>
      </c>
      <c r="D31" s="25">
        <v>73</v>
      </c>
      <c r="E31" s="23">
        <v>1808.8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30"/>
      <c r="U31" s="27"/>
      <c r="V31" s="30"/>
      <c r="W31" s="30"/>
      <c r="X31" s="30"/>
      <c r="Y31" s="30"/>
      <c r="Z31" s="30"/>
      <c r="AA31" s="30"/>
      <c r="AB31" s="30"/>
      <c r="AC31" s="30"/>
      <c r="AD31" s="30"/>
      <c r="AE31" s="30"/>
    </row>
    <row r="32" spans="1:31">
      <c r="A32" s="14">
        <v>115</v>
      </c>
      <c r="B32" s="26">
        <v>151</v>
      </c>
      <c r="C32" s="26">
        <v>147</v>
      </c>
      <c r="D32" s="25">
        <v>73</v>
      </c>
      <c r="E32" s="23">
        <v>1806.7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30"/>
      <c r="U32" s="27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spans="1:31">
      <c r="A33" s="14">
        <v>120</v>
      </c>
      <c r="B33" s="26">
        <v>151</v>
      </c>
      <c r="C33" s="26">
        <v>148</v>
      </c>
      <c r="D33" s="25">
        <v>73</v>
      </c>
      <c r="E33" s="23">
        <v>1806.7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30"/>
      <c r="U33" s="27"/>
      <c r="V33" s="30"/>
      <c r="W33" s="30"/>
      <c r="X33" s="30"/>
      <c r="Y33" s="30"/>
      <c r="Z33" s="30"/>
      <c r="AA33" s="30"/>
      <c r="AB33" s="30"/>
      <c r="AC33" s="30"/>
      <c r="AD33" s="30"/>
      <c r="AE33" s="30"/>
    </row>
    <row r="34" spans="1:31">
      <c r="A34" s="28"/>
      <c r="B34" s="29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30"/>
      <c r="U34" s="27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spans="1:31">
      <c r="A35" s="28"/>
      <c r="B35" s="29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30"/>
      <c r="U35" s="27"/>
      <c r="V35" s="30"/>
      <c r="W35" s="30"/>
      <c r="X35" s="30"/>
      <c r="Y35" s="30"/>
      <c r="Z35" s="30"/>
      <c r="AA35" s="30"/>
      <c r="AB35" s="30"/>
      <c r="AC35" s="30"/>
      <c r="AD35" s="30"/>
      <c r="AE35" s="30"/>
    </row>
    <row r="36" spans="1:31">
      <c r="A36" s="28"/>
      <c r="B36" s="29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30"/>
      <c r="U36" s="27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spans="1:31">
      <c r="A37" s="28"/>
      <c r="B37" s="29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30"/>
      <c r="U37" s="27"/>
      <c r="V37" s="30"/>
      <c r="W37" s="30"/>
      <c r="X37" s="30"/>
      <c r="Y37" s="30"/>
      <c r="Z37" s="30"/>
      <c r="AA37" s="30"/>
      <c r="AB37" s="30"/>
      <c r="AC37" s="30"/>
      <c r="AD37" s="30"/>
      <c r="AE37" s="30"/>
    </row>
    <row r="38" spans="1:21">
      <c r="A38" s="28"/>
      <c r="B38" s="29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30"/>
      <c r="U38" s="27"/>
    </row>
    <row r="39" spans="1:21">
      <c r="A39" s="28"/>
      <c r="B39" s="29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30"/>
      <c r="U39" s="27"/>
    </row>
    <row r="40" spans="1:21">
      <c r="A40" s="28"/>
      <c r="B40" s="29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30"/>
      <c r="U40" s="27"/>
    </row>
    <row r="41" spans="1:21">
      <c r="A41" s="28"/>
      <c r="B41" s="29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30"/>
      <c r="U41" s="27"/>
    </row>
    <row r="42" spans="1:21">
      <c r="A42" s="28"/>
      <c r="B42" s="29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30"/>
      <c r="U42" s="27"/>
    </row>
    <row r="43" spans="1:21">
      <c r="A43" s="28"/>
      <c r="B43" s="29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30"/>
      <c r="U43" s="27"/>
    </row>
    <row r="44" spans="1:21">
      <c r="A44" s="28"/>
      <c r="B44" s="29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30"/>
      <c r="U44" s="27"/>
    </row>
    <row r="45" spans="1:21">
      <c r="A45" s="28"/>
      <c r="B45" s="29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30"/>
      <c r="U45" s="27"/>
    </row>
    <row r="46" spans="1:21">
      <c r="A46" s="28"/>
      <c r="B46" s="29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30"/>
      <c r="U46" s="27"/>
    </row>
    <row r="47" spans="1:21">
      <c r="A47" s="28"/>
      <c r="B47" s="29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30"/>
      <c r="U47" s="27"/>
    </row>
    <row r="48" spans="1:21">
      <c r="A48" s="28"/>
      <c r="B48" s="29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30"/>
      <c r="U48" s="27"/>
    </row>
    <row r="49" spans="1:21">
      <c r="A49" s="28"/>
      <c r="B49" s="29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30"/>
      <c r="U49" s="27"/>
    </row>
    <row r="50" spans="1:21">
      <c r="A50" s="28"/>
      <c r="B50" s="29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30"/>
      <c r="U50" s="27"/>
    </row>
    <row r="51" spans="1:21">
      <c r="A51" s="28"/>
      <c r="B51" s="29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30"/>
      <c r="U51" s="27"/>
    </row>
    <row r="52" spans="1:21">
      <c r="A52" s="28"/>
      <c r="B52" s="29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30"/>
      <c r="U52" s="27"/>
    </row>
    <row r="53" spans="1:21">
      <c r="A53" s="28"/>
      <c r="B53" s="29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30"/>
      <c r="U53" s="27"/>
    </row>
    <row r="54" spans="1:21">
      <c r="A54" s="28"/>
      <c r="B54" s="29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30"/>
      <c r="U54" s="27"/>
    </row>
    <row r="55" spans="1:21">
      <c r="A55" s="28"/>
      <c r="B55" s="29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30"/>
      <c r="U55" s="27"/>
    </row>
    <row r="56" spans="1:21">
      <c r="A56" s="28"/>
      <c r="B56" s="29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30"/>
      <c r="U56" s="27"/>
    </row>
    <row r="57" spans="1:21">
      <c r="A57" s="28"/>
      <c r="B57" s="29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30"/>
      <c r="U57" s="27"/>
    </row>
    <row r="58" spans="1:21">
      <c r="A58" s="28"/>
      <c r="B58" s="29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30"/>
      <c r="U58" s="27"/>
    </row>
    <row r="59" spans="1:21">
      <c r="A59" s="28"/>
      <c r="B59" s="29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30"/>
      <c r="U59" s="27"/>
    </row>
    <row r="60" spans="1:21">
      <c r="A60" s="28"/>
      <c r="B60" s="29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30"/>
      <c r="U60" s="27"/>
    </row>
    <row r="61" spans="1:21">
      <c r="A61" s="28"/>
      <c r="B61" s="29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30"/>
      <c r="U61" s="27"/>
    </row>
    <row r="62" spans="1:21">
      <c r="A62" s="28"/>
      <c r="B62" s="29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30"/>
      <c r="U62" s="27"/>
    </row>
    <row r="63" spans="1:21">
      <c r="A63" s="28"/>
      <c r="B63" s="29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30"/>
      <c r="U63" s="27"/>
    </row>
    <row r="64" spans="1:21">
      <c r="A64" s="28"/>
      <c r="B64" s="29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30"/>
      <c r="U64" s="27"/>
    </row>
    <row r="65" spans="1:21">
      <c r="A65" s="28"/>
      <c r="B65" s="29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30"/>
      <c r="U65" s="27"/>
    </row>
    <row r="66" spans="1:21">
      <c r="A66" s="28"/>
      <c r="B66" s="29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30"/>
      <c r="U66" s="27"/>
    </row>
    <row r="67" spans="1:21">
      <c r="A67" s="28"/>
      <c r="B67" s="29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30"/>
      <c r="U67" s="27"/>
    </row>
    <row r="68" spans="1:21">
      <c r="A68" s="28"/>
      <c r="B68" s="29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30"/>
      <c r="U68" s="27"/>
    </row>
    <row r="69" spans="1:21">
      <c r="A69" s="28"/>
      <c r="B69" s="29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30"/>
      <c r="U69" s="27"/>
    </row>
    <row r="70" spans="1:21">
      <c r="A70" s="28"/>
      <c r="B70" s="29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30"/>
      <c r="U70" s="27"/>
    </row>
    <row r="71" spans="1:21">
      <c r="A71" s="28"/>
      <c r="B71" s="29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30"/>
      <c r="U71" s="27"/>
    </row>
    <row r="72" spans="1:21">
      <c r="A72" s="28"/>
      <c r="B72" s="29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30"/>
      <c r="U72" s="27"/>
    </row>
    <row r="73" spans="1:21">
      <c r="A73" s="28"/>
      <c r="B73" s="29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30"/>
      <c r="U73" s="27"/>
    </row>
    <row r="74" spans="1:21">
      <c r="A74" s="28"/>
      <c r="B74" s="29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30"/>
      <c r="U74" s="27"/>
    </row>
    <row r="75" spans="1:21">
      <c r="A75" s="28"/>
      <c r="B75" s="29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30"/>
      <c r="U75" s="27"/>
    </row>
    <row r="76" spans="1:21">
      <c r="A76" s="28"/>
      <c r="B76" s="29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30"/>
      <c r="U76" s="27"/>
    </row>
    <row r="77" spans="1:21">
      <c r="A77" s="28"/>
      <c r="B77" s="29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30"/>
      <c r="U77" s="27"/>
    </row>
    <row r="78" spans="1:21">
      <c r="A78" s="28"/>
      <c r="B78" s="29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30"/>
      <c r="U78" s="27"/>
    </row>
    <row r="79" spans="1:21">
      <c r="A79" s="28"/>
      <c r="B79" s="29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30"/>
      <c r="U79" s="27"/>
    </row>
    <row r="80" spans="1:21">
      <c r="A80" s="28"/>
      <c r="B80" s="29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30"/>
      <c r="U80" s="27"/>
    </row>
    <row r="81" spans="1:21">
      <c r="A81" s="28"/>
      <c r="B81" s="29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30"/>
      <c r="U81" s="27"/>
    </row>
    <row r="82" spans="1:21">
      <c r="A82" s="28"/>
      <c r="B82" s="29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30"/>
      <c r="U82" s="27"/>
    </row>
    <row r="83" spans="1:21">
      <c r="A83" s="28"/>
      <c r="B83" s="29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30"/>
      <c r="U83" s="27"/>
    </row>
    <row r="84" spans="1:21">
      <c r="A84" s="28"/>
      <c r="B84" s="29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30"/>
      <c r="U84" s="27"/>
    </row>
    <row r="85" spans="1:21">
      <c r="A85" s="28"/>
      <c r="B85" s="29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30"/>
      <c r="U85" s="27"/>
    </row>
    <row r="86" spans="1:21">
      <c r="A86" s="28"/>
      <c r="B86" s="29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30"/>
      <c r="U86" s="27"/>
    </row>
    <row r="87" spans="1:21">
      <c r="A87" s="28"/>
      <c r="B87" s="29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30"/>
      <c r="U87" s="27"/>
    </row>
    <row r="88" spans="1:21">
      <c r="A88" s="28"/>
      <c r="B88" s="29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30"/>
      <c r="U88" s="27"/>
    </row>
    <row r="89" spans="1:19">
      <c r="A89" s="28"/>
      <c r="B89" s="29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</sheetData>
  <mergeCells count="3">
    <mergeCell ref="E6:F6"/>
    <mergeCell ref="A1:A2"/>
    <mergeCell ref="A3:A4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2090rpm-400Kw-温升</vt:lpstr>
      <vt:lpstr>2120rpm-400Kw-温升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FS-test</dc:creator>
  <cp:lastModifiedBy>小绳</cp:lastModifiedBy>
  <dcterms:created xsi:type="dcterms:W3CDTF">2015-06-05T18:19:00Z</dcterms:created>
  <dcterms:modified xsi:type="dcterms:W3CDTF">2025-04-18T03:26:14Z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c1d56f77">
    <vt:lpwstr>f24565cb_mFV3xz84Jik2N8pOlHv4q66lw6U=_8QYrr1ZNQU9SQbpS4nKKy1csHLnRWKXrXP3boFRNCGLv8gs+Hx2KShs+v7V0aMOMr4INxKHaBGcMEKCnTM+XxGLAdjVfHGKTpHKa/UP4Ggpm7OSpaeg61hmIn/yg2BPzlYt9GQ==_f1dec1f8</vt:lpwstr>
  </property>
  <property fmtid="{D5CDD505-2E9C-101B-9397-08002B2CF9AE}" pid="3" name="ICV">
    <vt:lpwstr>6640EFC5850C4A9A9D44360E8508AA74_12</vt:lpwstr>
  </property>
  <property fmtid="{D5CDD505-2E9C-101B-9397-08002B2CF9AE}" pid="4" name="KSOProductBuildVer">
    <vt:lpwstr>2052-12.1.0.20305</vt:lpwstr>
  </property>
</Properties>
</file>